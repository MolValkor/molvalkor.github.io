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structions" state="visible" r:id="rId4"/>
    <sheet sheetId="2" name="Invoices" state="visible" r:id="rId5"/>
  </sheets>
  <definedNames>
    <definedName name="Today">Invoices!$I$2</definedName>
    <definedName name="TotalInvoiced">Invoices!$D$10</definedName>
    <definedName name="TotalPaid">Invoices!$E$10</definedName>
    <definedName name="TotalOpen">Invoices!$F$10</definedName>
    <definedName name="BucketCurrent">Invoices!$J$4</definedName>
    <definedName name="Bucket31">Invoices!$J$5</definedName>
    <definedName name="Bucket61">Invoices!$J$6</definedName>
    <definedName name="Bucket90">Invoices!$J$7</definedName>
  </definedNames>
  <calcPr calcId="171027" fullCalcOnLoad="1"/>
</workbook>
</file>

<file path=xl/sharedStrings.xml><?xml version="1.0" encoding="utf-8"?>
<sst xmlns="http://schemas.openxmlformats.org/spreadsheetml/2006/main" count="45" uniqueCount="31">
  <si>
    <t>Invoice and payment tracker. The sample uses 17 October 2026 as 'today'. Three invoices: two paid, one open and 108 days old.</t>
  </si>
  <si>
    <t>Enter dates as YYYY-MM-DD. Leave unused rows at zero.</t>
  </si>
  <si>
    <t>Type only in the blue input cells. Other cells are formulas. The sheet password is kitwright. You do not need it to edit input cells. If you unlock a sheet, do not type over a formula.</t>
  </si>
  <si>
    <t>Works in Excel 2016 or newer, Google Sheets (File, Import, Upload), and LibreOffice Calc. A Google Sheets 'Make a copy' link is not offered until a Sheets account is approved.</t>
  </si>
  <si>
    <t>License: single-business use. You may use this file inside one business. You may not resell it, give it away as a product, or upload it to a template marketplace.</t>
  </si>
  <si>
    <t>Invoice</t>
  </si>
  <si>
    <t>Client</t>
  </si>
  <si>
    <t>Date (YYYY-MM-DD)</t>
  </si>
  <si>
    <t>Amount</t>
  </si>
  <si>
    <t>Paid</t>
  </si>
  <si>
    <t>Open</t>
  </si>
  <si>
    <t>Days</t>
  </si>
  <si>
    <t>Today</t>
  </si>
  <si>
    <t>1001</t>
  </si>
  <si>
    <t>North Desk</t>
  </si>
  <si>
    <t>2026-10-01</t>
  </si>
  <si>
    <t>2026-10-17</t>
  </si>
  <si>
    <t>Type today's date as YYYY-MM-DD. Aging uses this cell, not the computer clock, so the file stays stable.</t>
  </si>
  <si>
    <t>1002</t>
  </si>
  <si>
    <t>Harbor Studio</t>
  </si>
  <si>
    <t>2026-09-01</t>
  </si>
  <si>
    <t>1003</t>
  </si>
  <si>
    <t>Pine Electric</t>
  </si>
  <si>
    <t>2026-07-01</t>
  </si>
  <si>
    <t>Open, 0–30 days</t>
  </si>
  <si>
    <t/>
  </si>
  <si>
    <t>Open, 31–60 days</t>
  </si>
  <si>
    <t>Open, 61–90 days</t>
  </si>
  <si>
    <t>Open, over 90 days</t>
  </si>
  <si>
    <t>Paid invoices sit in Open at zero, so they do not land in a bucket.</t>
  </si>
  <si>
    <t>Totals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</si>
</sst>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$&quot;#,##0.00"/>
  </numFmts>
  <fonts count="3" x14ac:knownFonts="1">
    <font>
      <color theme="1"/>
      <family val="2"/>
      <scheme val="minor"/>
      <sz val="11"/>
      <name val="Calibri"/>
    </font>
    <font>
      <color rgb="FF1C1F24"/>
      <sz val="12"/>
      <name val="Calibri"/>
    </font>
    <font>
      <b/>
      <color rgb="FF1C1F24"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7EE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 applyProtection="1">
      <alignment vertical="top" wrapText="1"/>
    </xf>
    <xf numFmtId="0" fontId="2" fillId="0" borderId="0" xfId="0" applyFont="1" applyAlignment="1" applyProtection="1">
      <alignment vertical="top" wrapText="1"/>
    </xf>
    <xf numFmtId="0" fontId="1" fillId="2" borderId="0" xfId="0" applyFont="1" applyFill="1" applyAlignment="1" applyProtection="1">
      <alignment vertical="top" wrapText="1"/>
      <protection locked="0"/>
    </xf>
    <xf numFmtId="49" fontId="1" fillId="2" borderId="0" xfId="0" applyNumberFormat="1" applyFont="1" applyFill="1" applyAlignment="1" applyProtection="1">
      <alignment vertical="top" wrapText="1"/>
      <protection locked="0"/>
    </xf>
    <xf numFmtId="164" fontId="1" fillId="2" borderId="0" xfId="0" applyNumberFormat="1" applyFont="1" applyFill="1" applyProtection="1">
      <protection locked="0"/>
    </xf>
    <xf numFmtId="164" fontId="1" fillId="0" borderId="0" xfId="0" applyNumberFormat="1" applyFont="1" applyProtection="1"/>
    <xf numFmtId="1" fontId="1" fillId="0" borderId="0" xfId="0" applyNumberFormat="1" applyFo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5"/>
  <sheetFormatPr defaultRowHeight="15" outlineLevelRow="0" outlineLevelCol="0" x14ac:dyDescent="55"/>
  <cols>
    <col min="1" max="1" width="108" customWidth="1"/>
  </cols>
  <sheetData>
    <row r="1" ht="36" customHeight="1" spans="1:1" x14ac:dyDescent="0.25">
      <c r="A1" s="1" t="s">
        <v>0</v>
      </c>
    </row>
    <row r="2" ht="36" customHeight="1" spans="1:1" x14ac:dyDescent="0.25">
      <c r="A2" s="1" t="s">
        <v>1</v>
      </c>
    </row>
    <row r="3" ht="36" customHeight="1" spans="1:1" x14ac:dyDescent="0.25">
      <c r="A3" s="1" t="s">
        <v>2</v>
      </c>
    </row>
    <row r="4" ht="36" customHeight="1" spans="1:1" x14ac:dyDescent="0.25">
      <c r="A4" s="1" t="s">
        <v>3</v>
      </c>
    </row>
    <row r="5" ht="36" customHeight="1" spans="1:1" x14ac:dyDescent="0.25">
      <c r="A5" s="1" t="s">
        <v>4</v>
      </c>
    </row>
  </sheetData>
  <sheetProtection sheet="1" algorithmName="SHA-512" hashValue="JSQBlRCdkfiuyEp5hu6TUvYXEzvapyCScN3weZB1Es0ETGwUVxsrZyLz7HVORLgrOHl/o0nof7E9ostctfik9w==" saltValue="afA4X3+W+1IjrkJdpZlMBA==" spinCount="100000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0" customWidth="1"/>
    <col min="3" max="3" width="22" customWidth="1"/>
    <col min="4" max="6" width="14" customWidth="1"/>
    <col min="7" max="7" width="10" customWidth="1"/>
    <col min="8" max="8" width="3" customWidth="1"/>
    <col min="9" max="9" width="28" customWidth="1"/>
    <col min="10" max="10" width="16" customWidth="1"/>
  </cols>
  <sheetData>
    <row r="1" spans="1:9" x14ac:dyDescent="0.25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I1" s="2" t="s">
        <v>12</v>
      </c>
    </row>
    <row r="2" spans="1:10" x14ac:dyDescent="0.25">
      <c r="A2" s="3" t="s">
        <v>13</v>
      </c>
      <c r="B2" s="3" t="s">
        <v>14</v>
      </c>
      <c r="C2" s="4" t="s">
        <v>15</v>
      </c>
      <c r="D2" s="5">
        <v>500</v>
      </c>
      <c r="E2" s="5">
        <v>500</v>
      </c>
      <c r="F2" s="6">
        <f>IF(D2="",0,D2-E2)</f>
      </c>
      <c r="G2" s="7">
        <f>IF(C2="",0,DAYS($I$2,C2))</f>
      </c>
      <c r="I2" s="4" t="s">
        <v>16</v>
      </c>
      <c r="J2" s="1" t="s">
        <v>17</v>
      </c>
    </row>
    <row r="3" spans="1:7" x14ac:dyDescent="0.25">
      <c r="A3" s="3" t="s">
        <v>18</v>
      </c>
      <c r="B3" s="3" t="s">
        <v>19</v>
      </c>
      <c r="C3" s="4" t="s">
        <v>20</v>
      </c>
      <c r="D3" s="5">
        <v>250</v>
      </c>
      <c r="E3" s="5">
        <v>250</v>
      </c>
      <c r="F3" s="6">
        <f>IF(D3="",0,D3-E3)</f>
      </c>
      <c r="G3" s="7">
        <f>IF(C3="",0,DAYS($I$2,C3))</f>
      </c>
    </row>
    <row r="4" spans="1:10" x14ac:dyDescent="0.25">
      <c r="A4" s="3" t="s">
        <v>21</v>
      </c>
      <c r="B4" s="3" t="s">
        <v>22</v>
      </c>
      <c r="C4" s="4" t="s">
        <v>23</v>
      </c>
      <c r="D4" s="5">
        <v>1200</v>
      </c>
      <c r="E4" s="5">
        <v>0</v>
      </c>
      <c r="F4" s="6">
        <f>IF(D4="",0,D4-E4)</f>
      </c>
      <c r="G4" s="7">
        <f>IF(C4="",0,DAYS($I$2,C4))</f>
      </c>
      <c r="I4" s="2" t="s">
        <v>24</v>
      </c>
      <c r="J4" s="6">
        <f>F2*(G2&lt;=30)+F3*(G3&lt;=30)+F4*(G4&lt;=30)+F5*(G5&lt;=30)+F6*(G6&lt;=30)+F7*(G7&lt;=30)+F8*(G8&lt;=30)+F9*(G9&lt;=30)</f>
      </c>
    </row>
    <row r="5" spans="1:10" x14ac:dyDescent="0.25">
      <c r="A5" s="3" t="s">
        <v>25</v>
      </c>
      <c r="B5" s="3" t="s">
        <v>25</v>
      </c>
      <c r="C5" s="4" t="s">
        <v>25</v>
      </c>
      <c r="D5" s="5">
        <v>0</v>
      </c>
      <c r="E5" s="5">
        <v>0</v>
      </c>
      <c r="F5" s="6">
        <f>IF(D5="",0,D5-E5)</f>
      </c>
      <c r="G5" s="7">
        <f>IF(C5="",0,DAYS($I$2,C5))</f>
      </c>
      <c r="I5" s="2" t="s">
        <v>26</v>
      </c>
      <c r="J5" s="6">
        <f>F2*AND(G2&gt;=31,G2&lt;=60)+F3*AND(G3&gt;=31,G3&lt;=60)+F4*AND(G4&gt;=31,G4&lt;=60)+F5*AND(G5&gt;=31,G5&lt;=60)+F6*AND(G6&gt;=31,G6&lt;=60)+F7*AND(G7&gt;=31,G7&lt;=60)+F8*AND(G8&gt;=31,G8&lt;=60)+F9*AND(G9&gt;=31,G9&lt;=60)</f>
      </c>
    </row>
    <row r="6" spans="1:10" x14ac:dyDescent="0.25">
      <c r="A6" s="3" t="s">
        <v>25</v>
      </c>
      <c r="B6" s="3" t="s">
        <v>25</v>
      </c>
      <c r="C6" s="4" t="s">
        <v>25</v>
      </c>
      <c r="D6" s="5">
        <v>0</v>
      </c>
      <c r="E6" s="5">
        <v>0</v>
      </c>
      <c r="F6" s="6">
        <f>IF(D6="",0,D6-E6)</f>
      </c>
      <c r="G6" s="7">
        <f>IF(C6="",0,DAYS($I$2,C6))</f>
      </c>
      <c r="I6" s="2" t="s">
        <v>27</v>
      </c>
      <c r="J6" s="6">
        <f>F2*AND(G2&gt;=61,G2&lt;=90)+F3*AND(G3&gt;=61,G3&lt;=90)+F4*AND(G4&gt;=61,G4&lt;=90)+F5*AND(G5&gt;=61,G5&lt;=90)+F6*AND(G6&gt;=61,G6&lt;=90)+F7*AND(G7&gt;=61,G7&lt;=90)+F8*AND(G8&gt;=61,G8&lt;=90)+F9*AND(G9&gt;=61,G9&lt;=90)</f>
      </c>
    </row>
    <row r="7" spans="1:10" x14ac:dyDescent="0.25">
      <c r="A7" s="3" t="s">
        <v>25</v>
      </c>
      <c r="B7" s="3" t="s">
        <v>25</v>
      </c>
      <c r="C7" s="4" t="s">
        <v>25</v>
      </c>
      <c r="D7" s="5">
        <v>0</v>
      </c>
      <c r="E7" s="5">
        <v>0</v>
      </c>
      <c r="F7" s="6">
        <f>IF(D7="",0,D7-E7)</f>
      </c>
      <c r="G7" s="7">
        <f>IF(C7="",0,DAYS($I$2,C7))</f>
      </c>
      <c r="I7" s="2" t="s">
        <v>28</v>
      </c>
      <c r="J7" s="6">
        <f>F2*(G2&gt;90)+F3*(G3&gt;90)+F4*(G4&gt;90)+F5*(G5&gt;90)+F6*(G6&gt;90)+F7*(G7&gt;90)+F8*(G8&gt;90)+F9*(G9&gt;90)</f>
      </c>
    </row>
    <row r="8" spans="1:9" x14ac:dyDescent="0.25">
      <c r="A8" s="3" t="s">
        <v>25</v>
      </c>
      <c r="B8" s="3" t="s">
        <v>25</v>
      </c>
      <c r="C8" s="4" t="s">
        <v>25</v>
      </c>
      <c r="D8" s="5">
        <v>0</v>
      </c>
      <c r="E8" s="5">
        <v>0</v>
      </c>
      <c r="F8" s="6">
        <f>IF(D8="",0,D8-E8)</f>
      </c>
      <c r="G8" s="7">
        <f>IF(C8="",0,DAYS($I$2,C8))</f>
      </c>
      <c r="I8" s="1" t="s">
        <v>29</v>
      </c>
    </row>
    <row r="9" spans="1:7" x14ac:dyDescent="0.25">
      <c r="A9" s="3" t="s">
        <v>25</v>
      </c>
      <c r="B9" s="3" t="s">
        <v>25</v>
      </c>
      <c r="C9" s="4" t="s">
        <v>25</v>
      </c>
      <c r="D9" s="5">
        <v>0</v>
      </c>
      <c r="E9" s="5">
        <v>0</v>
      </c>
      <c r="F9" s="6">
        <f>IF(D9="",0,D9-E9)</f>
      </c>
      <c r="G9" s="7">
        <f>IF(C9="",0,DAYS($I$2,C9))</f>
      </c>
    </row>
    <row r="10" spans="1:6" x14ac:dyDescent="0.25">
      <c r="A10" s="2" t="s">
        <v>30</v>
      </c>
      <c r="D10" s="6">
        <f>SUM(D2:D9)</f>
      </c>
      <c r="E10" s="6">
        <f>SUM(E2:E9)</f>
      </c>
      <c r="F10" s="6">
        <f>SUM(F2:F9)</f>
      </c>
    </row>
  </sheetData>
  <sheetProtection sheet="1" algorithmName="SHA-512" hashValue="JY/G4ERgZV2149H0ZPBDwkZWGexMAsCzLSAmZVpyN+d9KyTg8YiJJzwP4rR0JUUyddI4tiBaKIqgIyM5puW3Mw==" saltValue="NuqOmz8sInGT5qkuSAS+Fw==" spinCount="100000"/>
  <dataValidations count="1">
    <dataValidation type="decimal" allowBlank="1" showErrorMessage="1" errorTitle="Check that number" error="Enter a number in the allowed range." sqref="D2:E9">
      <formula1>0</formula1>
      <formula2>1000000000</formula2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Invoices</vt:lpstr>
    </vt:vector>
  </TitlesOfParts>
  <Company>DeepScan Federation LLC</Company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Kitwright</dc:creator>
  <dc:title>invoice-tracker</dc:title>
  <dc:subject/>
  <dc:description>Single-business license. Not professional advice. Formulas are tested against the sample.</dc:description>
  <cp:keywords/>
  <cp:category/>
  <cp:lastModifiedBy>Unknown</cp:lastModifiedBy>
  <dcterms:created xsi:type="dcterms:W3CDTF">2026-10-17T20:42:01Z</dcterms:created>
  <dcterms:modified xsi:type="dcterms:W3CDTF">2026-10-17T20:42:01Z</dcterms:modified>
</cp:coreProperties>
</file>